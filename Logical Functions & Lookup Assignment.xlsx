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hu\OneDrive\Desktop\Pw Skills Assignment\"/>
    </mc:Choice>
  </mc:AlternateContent>
  <xr:revisionPtr revIDLastSave="0" documentId="13_ncr:1_{FD0A40F8-419B-48B7-B84D-3AAFC4DEEB2E}" xr6:coauthVersionLast="47" xr6:coauthVersionMax="47" xr10:uidLastSave="{00000000-0000-0000-0000-000000000000}"/>
  <bookViews>
    <workbookView xWindow="-120" yWindow="-120" windowWidth="29040" windowHeight="15720" tabRatio="770" activeTab="7" xr2:uid="{38C890E7-8BD7-489A-9913-DEE3A0D40D0A}"/>
  </bookViews>
  <sheets>
    <sheet name="Question No.1" sheetId="1" r:id="rId1"/>
    <sheet name="Question No.2" sheetId="2" r:id="rId2"/>
    <sheet name="Question No.3" sheetId="3" r:id="rId3"/>
    <sheet name="Question No.4" sheetId="4" r:id="rId4"/>
    <sheet name="Question No.5" sheetId="5" r:id="rId5"/>
    <sheet name="Question No.6" sheetId="6" r:id="rId6"/>
    <sheet name="Question No.7" sheetId="7" r:id="rId7"/>
    <sheet name="Question No.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6" l="1"/>
  <c r="C10" i="8"/>
  <c r="C9" i="7"/>
  <c r="E7" i="6"/>
  <c r="E8" i="6"/>
  <c r="C11" i="5"/>
  <c r="E3" i="2"/>
  <c r="D8" i="4"/>
  <c r="D7" i="3"/>
  <c r="D6" i="3"/>
  <c r="D5" i="3"/>
  <c r="D4" i="3"/>
  <c r="D3" i="3"/>
  <c r="E6" i="2"/>
  <c r="E5" i="2"/>
  <c r="E4" i="2"/>
  <c r="D7" i="1"/>
  <c r="D6" i="1"/>
  <c r="D5" i="1"/>
  <c r="D4" i="1"/>
  <c r="D3" i="1"/>
</calcChain>
</file>

<file path=xl/sharedStrings.xml><?xml version="1.0" encoding="utf-8"?>
<sst xmlns="http://schemas.openxmlformats.org/spreadsheetml/2006/main" count="94" uniqueCount="68">
  <si>
    <t xml:space="preserve">Student Name </t>
  </si>
  <si>
    <t>Marks</t>
  </si>
  <si>
    <t>Riya</t>
  </si>
  <si>
    <t>Siya</t>
  </si>
  <si>
    <t>Raju</t>
  </si>
  <si>
    <t>Rahul</t>
  </si>
  <si>
    <t>Ram</t>
  </si>
  <si>
    <t>Result</t>
  </si>
  <si>
    <t>Employee</t>
  </si>
  <si>
    <t>Sales</t>
  </si>
  <si>
    <t>Attendance</t>
  </si>
  <si>
    <t>Simran</t>
  </si>
  <si>
    <t>Arjun</t>
  </si>
  <si>
    <t>Rohit</t>
  </si>
  <si>
    <t>Anjali</t>
  </si>
  <si>
    <t>Student Name</t>
  </si>
  <si>
    <t>Grade</t>
  </si>
  <si>
    <t>Raj</t>
  </si>
  <si>
    <t>Neha</t>
  </si>
  <si>
    <t>Vivek</t>
  </si>
  <si>
    <t>Rani</t>
  </si>
  <si>
    <t>Sneha</t>
  </si>
  <si>
    <t xml:space="preserve">EmpID </t>
  </si>
  <si>
    <t xml:space="preserve">Name </t>
  </si>
  <si>
    <t>Department</t>
  </si>
  <si>
    <t>E101</t>
  </si>
  <si>
    <t>E102</t>
  </si>
  <si>
    <t>E103</t>
  </si>
  <si>
    <t>E104</t>
  </si>
  <si>
    <t>Roshni</t>
  </si>
  <si>
    <t>Sejal</t>
  </si>
  <si>
    <t>IT</t>
  </si>
  <si>
    <t>HR</t>
  </si>
  <si>
    <t>Finance</t>
  </si>
  <si>
    <t>Q.No.4: Find the Department of Employee ID = E103. Also explain which LOOKUP function is used and why?</t>
  </si>
  <si>
    <t>Answer: We use VLOOKUP because</t>
  </si>
  <si>
    <t>We want to find information related to a specific value in a table, we use a lookup function.</t>
  </si>
  <si>
    <t>It suitable to use when data is arranged vertically in colums.</t>
  </si>
  <si>
    <t>It searches for a value (E103) in the leftmost column of a table.</t>
  </si>
  <si>
    <t>Q.No.3: Write a nested IF formula: If marks in B2 are ≥ 90 → , "A"≥ 75 → , "B"≥ 50 → , otherwise . "Fail"</t>
  </si>
  <si>
    <t>Q.No.2: A company gives a bonus  if sales are above 40,000 and attendance is greater than or equal to 90%. Write a
formula to calculate whether the employee will get a bonus or not .</t>
  </si>
  <si>
    <t>Q.No.1: Write a formula to check if the marks in cell B2 are greater than or equal to 40. If yes, return "Pass", otherwise "Fail'.</t>
  </si>
  <si>
    <t>Sales Amount</t>
  </si>
  <si>
    <t>Commission Rate</t>
  </si>
  <si>
    <t>Commission</t>
  </si>
  <si>
    <t>Q.No.5:  company has set the following commission structure for its sales team:</t>
  </si>
  <si>
    <t>If a salesperson achieves sales of ₹45,000, use the VLOOKUP function to determine the commission rate applicable.</t>
  </si>
  <si>
    <t>Name</t>
  </si>
  <si>
    <t>Mashuk</t>
  </si>
  <si>
    <t>Lets assume sales person name is Mashuk and he achieves sales of  ₹45,000 then his commission is 10%</t>
  </si>
  <si>
    <t>Employee Name</t>
  </si>
  <si>
    <t>Leaves Taken</t>
  </si>
  <si>
    <t>Leaves Allowed</t>
  </si>
  <si>
    <t>Alex</t>
  </si>
  <si>
    <t>Bob</t>
  </si>
  <si>
    <t>Anna</t>
  </si>
  <si>
    <t>Q.No.6: The HR department maintains the following leave records of employees:onus or not .</t>
  </si>
  <si>
    <t>Write an IF function to check whether an employee has Exceeded their allowed leave balance.</t>
  </si>
  <si>
    <t>If Leaves Taken &gt; Allowed Leaves, display "Exceeded".</t>
  </si>
  <si>
    <t>Otherwise, display "OK".</t>
  </si>
  <si>
    <t>Salary</t>
  </si>
  <si>
    <t>E105</t>
  </si>
  <si>
    <t>E106</t>
  </si>
  <si>
    <t>Q.No.7: Find the salary of EmpID = E105 using INDEX-MATCH Function</t>
  </si>
  <si>
    <t>EmpID</t>
  </si>
  <si>
    <t>E303</t>
  </si>
  <si>
    <t>E301</t>
  </si>
  <si>
    <t>Q.No.8: Use the XLOOKUP function to find the Department of the employee with Emp ID = E303.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</si>
</sst>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0" fontId="2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/>
    <xf numFmtId="0" fontId="4" fillId="2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4" fillId="2" borderId="3" xfId="0" applyFont="1" applyFill="1" applyBorder="1"/>
    <xf numFmtId="0" fontId="4" fillId="2" borderId="4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2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346E3-4E48-4251-9953-3B8378739233}">
  <dimension ref="B1:E7"/>
  <sheetViews>
    <sheetView workbookViewId="0">
      <selection activeCell="E8" sqref="E8"/>
    </sheetView>
  </sheetViews>
  <sheetFormatPr defaultRowHeight="15" x14ac:dyDescent="0.25"/>
  <cols>
    <col min="2" max="2" width="17.85546875" customWidth="1"/>
    <col min="3" max="3" width="8.85546875" customWidth="1"/>
    <col min="5" max="5" width="115.42578125" customWidth="1"/>
    <col min="6" max="6" width="120.5703125" customWidth="1"/>
  </cols>
  <sheetData>
    <row r="1" spans="2:5" ht="15.75" x14ac:dyDescent="0.25">
      <c r="E1" s="20" t="s">
        <v>41</v>
      </c>
    </row>
    <row r="2" spans="2:5" ht="18.75" x14ac:dyDescent="0.25">
      <c r="B2" s="1" t="s">
        <v>0</v>
      </c>
      <c r="C2" s="1" t="s">
        <v>1</v>
      </c>
      <c r="D2" s="1" t="s">
        <v>7</v>
      </c>
    </row>
    <row r="3" spans="2:5" ht="15.75" x14ac:dyDescent="0.25">
      <c r="B3" s="2" t="s">
        <v>2</v>
      </c>
      <c r="C3" s="2">
        <v>45</v>
      </c>
      <c r="D3" s="11" t="str">
        <f>IF(C3&gt;=40,"Pass","Fail")</f>
        <v>Pass</v>
      </c>
    </row>
    <row r="4" spans="2:5" ht="15.75" x14ac:dyDescent="0.25">
      <c r="B4" s="2" t="s">
        <v>3</v>
      </c>
      <c r="C4" s="2">
        <v>72</v>
      </c>
      <c r="D4" s="11" t="str">
        <f>IF(C4&gt;=40,"Pass","Fail")</f>
        <v>Pass</v>
      </c>
    </row>
    <row r="5" spans="2:5" ht="15.75" x14ac:dyDescent="0.25">
      <c r="B5" s="2" t="s">
        <v>4</v>
      </c>
      <c r="C5" s="2">
        <v>55</v>
      </c>
      <c r="D5" s="11" t="str">
        <f>IF(C5&gt;=40,"Pass","Fail")</f>
        <v>Pass</v>
      </c>
    </row>
    <row r="6" spans="2:5" ht="15.75" x14ac:dyDescent="0.25">
      <c r="B6" s="2" t="s">
        <v>5</v>
      </c>
      <c r="C6" s="2">
        <v>80</v>
      </c>
      <c r="D6" s="11" t="str">
        <f>IF(C6&gt;=40,"Pass","Fail")</f>
        <v>Pass</v>
      </c>
    </row>
    <row r="7" spans="2:5" ht="15.75" x14ac:dyDescent="0.25">
      <c r="B7" s="2" t="s">
        <v>6</v>
      </c>
      <c r="C7" s="2">
        <v>30</v>
      </c>
      <c r="D7" s="11" t="str">
        <f>IF(C7&gt;=40,"Pass","Fail")</f>
        <v>Fail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7C8F5-D6C9-4580-87C7-295A7026708A}">
  <dimension ref="B1:F6"/>
  <sheetViews>
    <sheetView workbookViewId="0">
      <selection activeCell="F7" sqref="F7"/>
    </sheetView>
  </sheetViews>
  <sheetFormatPr defaultRowHeight="15" x14ac:dyDescent="0.25"/>
  <cols>
    <col min="2" max="2" width="12.42578125" bestFit="1" customWidth="1"/>
    <col min="3" max="3" width="8.5703125" customWidth="1"/>
    <col min="4" max="4" width="14.42578125" bestFit="1" customWidth="1"/>
    <col min="5" max="5" width="12.28515625" customWidth="1"/>
    <col min="6" max="6" width="106.42578125" customWidth="1"/>
    <col min="7" max="7" width="94" customWidth="1"/>
  </cols>
  <sheetData>
    <row r="1" spans="2:6" ht="30" customHeight="1" x14ac:dyDescent="0.25">
      <c r="F1" s="19" t="s">
        <v>40</v>
      </c>
    </row>
    <row r="2" spans="2:6" ht="18.75" x14ac:dyDescent="0.25">
      <c r="B2" s="1" t="s">
        <v>8</v>
      </c>
      <c r="C2" s="1" t="s">
        <v>9</v>
      </c>
      <c r="D2" s="1" t="s">
        <v>10</v>
      </c>
      <c r="E2" s="1" t="s">
        <v>7</v>
      </c>
    </row>
    <row r="3" spans="2:6" ht="15.75" x14ac:dyDescent="0.25">
      <c r="B3" s="2" t="s">
        <v>12</v>
      </c>
      <c r="C3" s="2">
        <v>55000</v>
      </c>
      <c r="D3" s="3">
        <v>0.95</v>
      </c>
      <c r="E3" s="11" t="str">
        <f>IF(AND(C3&gt;40000, D3&gt;=90%), "Bonus", "No Bonus")</f>
        <v>Bonus</v>
      </c>
    </row>
    <row r="4" spans="2:6" ht="15.75" x14ac:dyDescent="0.25">
      <c r="B4" s="2" t="s">
        <v>11</v>
      </c>
      <c r="C4" s="2">
        <v>55000</v>
      </c>
      <c r="D4" s="3">
        <v>0.85</v>
      </c>
      <c r="E4" s="11" t="str">
        <f>IF(AND(C4&gt;40000, D4&gt;=90%), "Bonus", "No Bonus")</f>
        <v>No Bonus</v>
      </c>
    </row>
    <row r="5" spans="2:6" ht="15.75" x14ac:dyDescent="0.25">
      <c r="B5" s="2" t="s">
        <v>13</v>
      </c>
      <c r="C5" s="2">
        <v>30000</v>
      </c>
      <c r="D5" s="3">
        <v>0.9</v>
      </c>
      <c r="E5" s="11" t="str">
        <f>IF(AND(C5&gt;40000, D5&gt;=90%), "Bonus", "No Bonus")</f>
        <v>No Bonus</v>
      </c>
    </row>
    <row r="6" spans="2:6" ht="15.75" x14ac:dyDescent="0.25">
      <c r="B6" s="2" t="s">
        <v>14</v>
      </c>
      <c r="C6" s="2">
        <v>25000</v>
      </c>
      <c r="D6" s="3">
        <v>0.65</v>
      </c>
      <c r="E6" s="11" t="str">
        <f>IF(AND(C6&gt;40000, D6&gt;=90%), "Bonus", "No Bonus")</f>
        <v>No Bonus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B9A83-F107-48B1-8A77-BC93695DC1A1}">
  <dimension ref="B1:E7"/>
  <sheetViews>
    <sheetView workbookViewId="0">
      <selection activeCell="E8" sqref="E8"/>
    </sheetView>
  </sheetViews>
  <sheetFormatPr defaultRowHeight="15" x14ac:dyDescent="0.25"/>
  <cols>
    <col min="1" max="1" width="8.5703125" customWidth="1"/>
    <col min="2" max="2" width="17.28515625" bestFit="1" customWidth="1"/>
    <col min="3" max="3" width="9.42578125" customWidth="1"/>
    <col min="4" max="4" width="11" customWidth="1"/>
    <col min="5" max="5" width="94.7109375" bestFit="1" customWidth="1"/>
  </cols>
  <sheetData>
    <row r="1" spans="2:5" ht="15.75" x14ac:dyDescent="0.25">
      <c r="E1" s="20" t="s">
        <v>39</v>
      </c>
    </row>
    <row r="2" spans="2:5" ht="18.75" x14ac:dyDescent="0.25">
      <c r="B2" s="1" t="s">
        <v>15</v>
      </c>
      <c r="C2" s="1" t="s">
        <v>1</v>
      </c>
      <c r="D2" s="1" t="s">
        <v>16</v>
      </c>
    </row>
    <row r="3" spans="2:5" ht="15.75" x14ac:dyDescent="0.25">
      <c r="B3" s="2" t="s">
        <v>17</v>
      </c>
      <c r="C3" s="2">
        <v>85</v>
      </c>
      <c r="D3" s="11" t="str">
        <f>IF(C3&gt;=90,"A",IF(C3&gt;=75,"B",IF(C3&gt;=50,"C","Fail")))</f>
        <v>B</v>
      </c>
    </row>
    <row r="4" spans="2:5" ht="15.75" x14ac:dyDescent="0.25">
      <c r="B4" s="2" t="s">
        <v>18</v>
      </c>
      <c r="C4" s="2">
        <v>96</v>
      </c>
      <c r="D4" s="11" t="str">
        <f>IF(C4&gt;=90,"A",IF(C4&gt;=75,"B",IF(C4&gt;=50,"C","Fail")))</f>
        <v>A</v>
      </c>
    </row>
    <row r="5" spans="2:5" ht="15.75" x14ac:dyDescent="0.25">
      <c r="B5" s="2" t="s">
        <v>19</v>
      </c>
      <c r="C5" s="2">
        <v>57</v>
      </c>
      <c r="D5" s="11" t="str">
        <f>IF(C5&gt;=90,"A",IF(C5&gt;=75,"B",IF(C5&gt;=50,"C","Fail")))</f>
        <v>C</v>
      </c>
    </row>
    <row r="6" spans="2:5" ht="15.75" x14ac:dyDescent="0.25">
      <c r="B6" s="2" t="s">
        <v>20</v>
      </c>
      <c r="C6" s="2">
        <v>92</v>
      </c>
      <c r="D6" s="11" t="str">
        <f>IF(C6&gt;=90,"A",IF(C6&gt;=75,"B",IF(C6&gt;=50,"C","Fail")))</f>
        <v>A</v>
      </c>
    </row>
    <row r="7" spans="2:5" ht="15.75" x14ac:dyDescent="0.25">
      <c r="B7" s="2" t="s">
        <v>21</v>
      </c>
      <c r="C7" s="2">
        <v>75</v>
      </c>
      <c r="D7" s="11" t="str">
        <f>IF(C7&gt;=90,"A",IF(C7&gt;=75,"B",IF(C7&gt;=50,"C","Fail")))</f>
        <v>B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0B123-2DD0-457F-805B-D5AFAE666BE3}">
  <dimension ref="B1:F8"/>
  <sheetViews>
    <sheetView workbookViewId="0">
      <selection activeCell="F8" sqref="F8"/>
    </sheetView>
  </sheetViews>
  <sheetFormatPr defaultRowHeight="15" x14ac:dyDescent="0.25"/>
  <cols>
    <col min="3" max="3" width="9.7109375" customWidth="1"/>
    <col min="4" max="4" width="14.85546875" bestFit="1" customWidth="1"/>
    <col min="5" max="5" width="4.140625" customWidth="1"/>
    <col min="6" max="6" width="102.28515625" customWidth="1"/>
  </cols>
  <sheetData>
    <row r="1" spans="2:6" ht="18.75" x14ac:dyDescent="0.25">
      <c r="B1" s="1" t="s">
        <v>22</v>
      </c>
      <c r="C1" s="1" t="s">
        <v>23</v>
      </c>
      <c r="D1" s="1" t="s">
        <v>24</v>
      </c>
      <c r="F1" s="20" t="s">
        <v>34</v>
      </c>
    </row>
    <row r="2" spans="2:6" ht="15.75" x14ac:dyDescent="0.25">
      <c r="B2" s="2" t="s">
        <v>25</v>
      </c>
      <c r="C2" s="2" t="s">
        <v>4</v>
      </c>
      <c r="D2" s="2" t="s">
        <v>31</v>
      </c>
      <c r="F2" s="16" t="s">
        <v>35</v>
      </c>
    </row>
    <row r="3" spans="2:6" ht="13.5" customHeight="1" x14ac:dyDescent="0.25">
      <c r="B3" s="2" t="s">
        <v>26</v>
      </c>
      <c r="C3" s="2" t="s">
        <v>2</v>
      </c>
      <c r="D3" s="2" t="s">
        <v>32</v>
      </c>
      <c r="F3" s="17" t="s">
        <v>36</v>
      </c>
    </row>
    <row r="4" spans="2:6" ht="15.75" x14ac:dyDescent="0.25">
      <c r="B4" s="2" t="s">
        <v>27</v>
      </c>
      <c r="C4" s="2" t="s">
        <v>29</v>
      </c>
      <c r="D4" s="2" t="s">
        <v>33</v>
      </c>
      <c r="F4" s="17" t="s">
        <v>37</v>
      </c>
    </row>
    <row r="5" spans="2:6" ht="15.75" x14ac:dyDescent="0.25">
      <c r="B5" s="2" t="s">
        <v>28</v>
      </c>
      <c r="C5" s="2" t="s">
        <v>30</v>
      </c>
      <c r="D5" s="2" t="s">
        <v>9</v>
      </c>
      <c r="F5" s="18" t="s">
        <v>38</v>
      </c>
    </row>
    <row r="7" spans="2:6" ht="18.75" x14ac:dyDescent="0.25">
      <c r="C7" s="1" t="s">
        <v>22</v>
      </c>
      <c r="D7" s="1" t="s">
        <v>24</v>
      </c>
    </row>
    <row r="8" spans="2:6" ht="15.75" x14ac:dyDescent="0.25">
      <c r="C8" s="4" t="s">
        <v>27</v>
      </c>
      <c r="D8" s="4" t="str">
        <f>VLOOKUP(B4,B2:D5,3,FALSE)</f>
        <v>Finance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0A790-9081-499D-8958-D3E0330D3706}">
  <dimension ref="A1:D11"/>
  <sheetViews>
    <sheetView workbookViewId="0">
      <selection activeCell="D13" sqref="D13"/>
    </sheetView>
  </sheetViews>
  <sheetFormatPr defaultRowHeight="15" x14ac:dyDescent="0.25"/>
  <cols>
    <col min="1" max="1" width="15.28515625" customWidth="1"/>
    <col min="2" max="2" width="17.140625" customWidth="1"/>
    <col min="3" max="3" width="21.42578125" bestFit="1" customWidth="1"/>
    <col min="4" max="4" width="107.85546875" customWidth="1"/>
  </cols>
  <sheetData>
    <row r="1" spans="1:4" ht="15.75" x14ac:dyDescent="0.25">
      <c r="D1" s="20" t="s">
        <v>45</v>
      </c>
    </row>
    <row r="2" spans="1:4" ht="18.75" x14ac:dyDescent="0.25">
      <c r="B2" s="1" t="s">
        <v>42</v>
      </c>
      <c r="C2" s="1" t="s">
        <v>43</v>
      </c>
    </row>
    <row r="3" spans="1:4" ht="15.75" x14ac:dyDescent="0.25">
      <c r="B3" s="6">
        <v>0</v>
      </c>
      <c r="C3" s="5">
        <v>0.05</v>
      </c>
    </row>
    <row r="4" spans="1:4" ht="15.75" x14ac:dyDescent="0.25">
      <c r="B4" s="6">
        <v>20000</v>
      </c>
      <c r="C4" s="5">
        <v>0.1</v>
      </c>
    </row>
    <row r="5" spans="1:4" ht="15.75" x14ac:dyDescent="0.25">
      <c r="B5" s="6">
        <v>50000</v>
      </c>
      <c r="C5" s="5">
        <v>0.15</v>
      </c>
    </row>
    <row r="6" spans="1:4" ht="15.75" x14ac:dyDescent="0.25">
      <c r="B6" s="6">
        <v>80000</v>
      </c>
      <c r="C6" s="5">
        <v>0.2</v>
      </c>
    </row>
    <row r="7" spans="1:4" ht="15.75" x14ac:dyDescent="0.25">
      <c r="D7" s="10" t="s">
        <v>46</v>
      </c>
    </row>
    <row r="9" spans="1:4" ht="15.75" x14ac:dyDescent="0.25">
      <c r="D9" s="9" t="s">
        <v>49</v>
      </c>
    </row>
    <row r="10" spans="1:4" ht="18.75" x14ac:dyDescent="0.25">
      <c r="A10" s="1" t="s">
        <v>47</v>
      </c>
      <c r="B10" s="1" t="s">
        <v>42</v>
      </c>
      <c r="C10" s="1" t="s">
        <v>44</v>
      </c>
    </row>
    <row r="11" spans="1:4" ht="15.75" x14ac:dyDescent="0.25">
      <c r="A11" s="11" t="s">
        <v>48</v>
      </c>
      <c r="B11" s="7">
        <v>45000</v>
      </c>
      <c r="C11" s="8">
        <f>VLOOKUP(B11, B3:C6, 2, TRUE)</f>
        <v>0.1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A3603-69B5-4617-A73D-377E917800B6}">
  <dimension ref="B1:F8"/>
  <sheetViews>
    <sheetView workbookViewId="0">
      <selection activeCell="F9" sqref="F9"/>
    </sheetView>
  </sheetViews>
  <sheetFormatPr defaultRowHeight="15" x14ac:dyDescent="0.25"/>
  <cols>
    <col min="1" max="1" width="9.140625" customWidth="1"/>
    <col min="2" max="2" width="19.7109375" bestFit="1" customWidth="1"/>
    <col min="3" max="3" width="16.42578125" bestFit="1" customWidth="1"/>
    <col min="4" max="4" width="19" bestFit="1" customWidth="1"/>
    <col min="5" max="5" width="8.5703125" bestFit="1" customWidth="1"/>
    <col min="6" max="6" width="89.85546875" bestFit="1" customWidth="1"/>
  </cols>
  <sheetData>
    <row r="1" spans="2:6" ht="15.75" x14ac:dyDescent="0.25">
      <c r="F1" s="21" t="s">
        <v>56</v>
      </c>
    </row>
    <row r="2" spans="2:6" ht="15.75" x14ac:dyDescent="0.25">
      <c r="F2" s="12" t="s">
        <v>57</v>
      </c>
    </row>
    <row r="3" spans="2:6" ht="15.75" x14ac:dyDescent="0.25">
      <c r="F3" s="12" t="s">
        <v>58</v>
      </c>
    </row>
    <row r="4" spans="2:6" ht="15.75" x14ac:dyDescent="0.25">
      <c r="F4" s="13" t="s">
        <v>59</v>
      </c>
    </row>
    <row r="5" spans="2:6" ht="18.75" x14ac:dyDescent="0.25">
      <c r="B5" s="1" t="s">
        <v>50</v>
      </c>
      <c r="C5" s="1" t="s">
        <v>51</v>
      </c>
      <c r="D5" s="1" t="s">
        <v>52</v>
      </c>
      <c r="E5" s="1" t="s">
        <v>7</v>
      </c>
    </row>
    <row r="6" spans="2:6" ht="15.75" x14ac:dyDescent="0.25">
      <c r="B6" s="2" t="s">
        <v>53</v>
      </c>
      <c r="C6" s="2">
        <v>10</v>
      </c>
      <c r="D6" s="2">
        <v>12</v>
      </c>
      <c r="E6" s="22" t="str">
        <f>IF(C6 &gt; D6, "Exceeded", "OK")</f>
        <v>OK</v>
      </c>
    </row>
    <row r="7" spans="2:6" ht="15.75" x14ac:dyDescent="0.25">
      <c r="B7" s="2" t="s">
        <v>54</v>
      </c>
      <c r="C7" s="2">
        <v>10</v>
      </c>
      <c r="D7" s="2">
        <v>15</v>
      </c>
      <c r="E7" s="22" t="str">
        <f>IF(C7 &gt; D7, "Exceeded", "OK")</f>
        <v>OK</v>
      </c>
    </row>
    <row r="8" spans="2:6" ht="15.75" x14ac:dyDescent="0.25">
      <c r="B8" s="2" t="s">
        <v>55</v>
      </c>
      <c r="C8" s="2">
        <v>8</v>
      </c>
      <c r="D8" s="2">
        <v>12</v>
      </c>
      <c r="E8" s="22" t="str">
        <f>IF(C8 &gt; D8, "Exceeded", "OK")</f>
        <v>OK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AB16A-7208-4D88-9489-E0B3B48F7A91}">
  <dimension ref="B1:D9"/>
  <sheetViews>
    <sheetView workbookViewId="0">
      <selection activeCell="D11" sqref="D11"/>
    </sheetView>
  </sheetViews>
  <sheetFormatPr defaultRowHeight="15" x14ac:dyDescent="0.25"/>
  <cols>
    <col min="1" max="1" width="9.28515625" bestFit="1" customWidth="1"/>
    <col min="2" max="2" width="10.140625" customWidth="1"/>
    <col min="3" max="3" width="13.42578125" customWidth="1"/>
    <col min="4" max="4" width="67" bestFit="1" customWidth="1"/>
  </cols>
  <sheetData>
    <row r="1" spans="2:4" ht="15.75" x14ac:dyDescent="0.25">
      <c r="D1" s="10" t="s">
        <v>63</v>
      </c>
    </row>
    <row r="2" spans="2:4" ht="18.75" x14ac:dyDescent="0.25">
      <c r="B2" s="14" t="s">
        <v>22</v>
      </c>
      <c r="C2" s="14" t="s">
        <v>60</v>
      </c>
    </row>
    <row r="3" spans="2:4" ht="15.75" x14ac:dyDescent="0.25">
      <c r="B3" s="2" t="s">
        <v>28</v>
      </c>
      <c r="C3" s="6">
        <v>55000</v>
      </c>
    </row>
    <row r="4" spans="2:4" ht="15.75" x14ac:dyDescent="0.25">
      <c r="B4" s="2" t="s">
        <v>61</v>
      </c>
      <c r="C4" s="6">
        <v>72000</v>
      </c>
    </row>
    <row r="5" spans="2:4" ht="15.75" x14ac:dyDescent="0.25">
      <c r="B5" s="2" t="s">
        <v>62</v>
      </c>
      <c r="C5" s="6">
        <v>62000</v>
      </c>
    </row>
    <row r="6" spans="2:4" ht="15.75" x14ac:dyDescent="0.25">
      <c r="B6" s="2" t="s">
        <v>26</v>
      </c>
      <c r="C6" s="6">
        <v>41000</v>
      </c>
    </row>
    <row r="7" spans="2:4" x14ac:dyDescent="0.25">
      <c r="B7" s="15"/>
      <c r="C7" s="15"/>
    </row>
    <row r="8" spans="2:4" ht="18.75" x14ac:dyDescent="0.25">
      <c r="B8" s="14" t="s">
        <v>22</v>
      </c>
      <c r="C8" s="14" t="s">
        <v>60</v>
      </c>
    </row>
    <row r="9" spans="2:4" ht="15.75" x14ac:dyDescent="0.25">
      <c r="B9" s="11" t="s">
        <v>61</v>
      </c>
      <c r="C9" s="7">
        <f>INDEX(C2:C6, MATCH("E105", B2:B6, 0))</f>
        <v>72000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01D3F-DC96-4C1A-91FF-19CAC45CFB3D}">
  <dimension ref="B1:D10"/>
  <sheetViews>
    <sheetView tabSelected="1" workbookViewId="0">
      <selection activeCell="D11" sqref="D11"/>
    </sheetView>
  </sheetViews>
  <sheetFormatPr defaultRowHeight="15" x14ac:dyDescent="0.25"/>
  <cols>
    <col min="1" max="1" width="8.7109375" bestFit="1" customWidth="1"/>
    <col min="2" max="2" width="10.5703125" customWidth="1"/>
    <col min="3" max="3" width="10.7109375" customWidth="1"/>
    <col min="4" max="4" width="91.28515625" bestFit="1" customWidth="1"/>
  </cols>
  <sheetData>
    <row r="1" spans="2:4" ht="15.75" x14ac:dyDescent="0.25">
      <c r="D1" s="20" t="s">
        <v>67</v>
      </c>
    </row>
    <row r="2" spans="2:4" ht="18.75" x14ac:dyDescent="0.25">
      <c r="B2" s="1" t="s">
        <v>64</v>
      </c>
      <c r="C2" s="1" t="s">
        <v>64</v>
      </c>
    </row>
    <row r="3" spans="2:4" ht="15.75" x14ac:dyDescent="0.25">
      <c r="B3" s="2" t="s">
        <v>25</v>
      </c>
      <c r="C3" s="2" t="s">
        <v>32</v>
      </c>
    </row>
    <row r="4" spans="2:4" ht="15.75" x14ac:dyDescent="0.25">
      <c r="B4" s="2" t="s">
        <v>65</v>
      </c>
      <c r="C4" s="2" t="s">
        <v>31</v>
      </c>
    </row>
    <row r="5" spans="2:4" ht="15.75" x14ac:dyDescent="0.25">
      <c r="B5" s="2" t="s">
        <v>62</v>
      </c>
      <c r="C5" s="2" t="s">
        <v>9</v>
      </c>
    </row>
    <row r="6" spans="2:4" ht="15.75" x14ac:dyDescent="0.25">
      <c r="B6" s="2" t="s">
        <v>66</v>
      </c>
      <c r="C6" s="2" t="s">
        <v>33</v>
      </c>
    </row>
    <row r="7" spans="2:4" x14ac:dyDescent="0.25">
      <c r="B7" s="15"/>
      <c r="C7" s="15"/>
    </row>
    <row r="8" spans="2:4" x14ac:dyDescent="0.25">
      <c r="B8" s="15"/>
      <c r="C8" s="15"/>
    </row>
    <row r="9" spans="2:4" ht="18.75" x14ac:dyDescent="0.25">
      <c r="B9" s="1" t="s">
        <v>64</v>
      </c>
      <c r="C9" s="1" t="s">
        <v>64</v>
      </c>
    </row>
    <row r="10" spans="2:4" ht="15.75" x14ac:dyDescent="0.25">
      <c r="B10" s="11" t="s">
        <v>65</v>
      </c>
      <c r="C10" s="11" t="str">
        <f>_xlfn.XLOOKUP("E303", B2:B6, C2:C6)</f>
        <v>IT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Question No.1</vt:lpstr>
      <vt:lpstr>Question No.2</vt:lpstr>
      <vt:lpstr>Question No.3</vt:lpstr>
      <vt:lpstr>Question No.4</vt:lpstr>
      <vt:lpstr>Question No.5</vt:lpstr>
      <vt:lpstr>Question No.6</vt:lpstr>
      <vt:lpstr>Question No.7</vt:lpstr>
      <vt:lpstr>Question No.8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Mashuk Ali</dc:creator>
  <cp:lastModifiedBy>Mashuk Ali</cp:lastModifiedBy>
  <dcterms:created xsi:type="dcterms:W3CDTF">2025-11-03T08:55:43Z</dcterms:created>
  <dcterms:modified xsi:type="dcterms:W3CDTF">2025-11-04T06:56:12Z</dcterms:modified>
</cp:coreProperties>
</file>